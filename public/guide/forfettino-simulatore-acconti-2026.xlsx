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ore Accont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3">
    <font>
      <name val="Calibri"/>
      <family val="2"/>
      <color theme="1"/>
      <sz val="11"/>
      <scheme val="minor"/>
    </font>
    <font>
      <b val="1"/>
      <color rgb="000F766E"/>
      <sz val="18"/>
    </font>
    <font>
      <b val="1"/>
      <color rgb="00334155"/>
      <sz val="13"/>
    </font>
    <font>
      <i val="1"/>
      <color rgb="0064748B"/>
      <sz val="10"/>
    </font>
    <font>
      <b val="1"/>
      <color rgb="00FFFFFF"/>
      <sz val="11"/>
    </font>
    <font>
      <b val="1"/>
      <color rgb="00334155"/>
    </font>
    <font>
      <b val="1"/>
      <color rgb="009A3412"/>
    </font>
    <font>
      <color rgb="0064748B"/>
      <sz val="9"/>
    </font>
    <font>
      <b val="1"/>
      <color rgb="000F766E"/>
    </font>
    <font>
      <color rgb="00334155"/>
      <sz val="10"/>
    </font>
    <font>
      <b val="1"/>
      <color rgb="0092400E"/>
    </font>
    <font>
      <color rgb="0092400E"/>
      <sz val="9"/>
    </font>
    <font>
      <b val="1"/>
      <color rgb="000F766E"/>
      <sz val="11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FFF7ED"/>
      </patternFill>
    </fill>
    <fill>
      <patternFill patternType="solid">
        <fgColor rgb="00E1F5EE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3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right" indent="1"/>
    </xf>
    <xf numFmtId="0" fontId="0" fillId="0" borderId="1" applyAlignment="1" pivotButton="0" quotePrefix="0" xfId="0">
      <alignment indent="1"/>
    </xf>
    <xf numFmtId="164" fontId="6" fillId="4" borderId="1" applyAlignment="1" pivotButton="0" quotePrefix="0" xfId="0">
      <alignment horizontal="right" indent="1"/>
    </xf>
    <xf numFmtId="0" fontId="7" fillId="0" borderId="1" applyAlignment="1" pivotButton="0" quotePrefix="0" xfId="0">
      <alignment indent="1"/>
    </xf>
    <xf numFmtId="0" fontId="6" fillId="4" borderId="1" applyAlignment="1" pivotButton="0" quotePrefix="0" xfId="0">
      <alignment horizontal="right" indent="1"/>
    </xf>
    <xf numFmtId="0" fontId="0" fillId="0" borderId="1" applyAlignment="1" pivotButton="0" quotePrefix="0" xfId="0">
      <alignment horizontal="right" indent="1"/>
    </xf>
    <xf numFmtId="0" fontId="5" fillId="0" borderId="1" applyAlignment="1" pivotButton="0" quotePrefix="0" xfId="0">
      <alignment indent="1"/>
    </xf>
    <xf numFmtId="0" fontId="5" fillId="0" borderId="1" applyAlignment="1" pivotButton="0" quotePrefix="0" xfId="0">
      <alignment horizontal="right" indent="1"/>
    </xf>
    <xf numFmtId="0" fontId="8" fillId="5" borderId="1" applyAlignment="1" pivotButton="0" quotePrefix="0" xfId="0">
      <alignment horizontal="right" indent="1"/>
    </xf>
    <xf numFmtId="0" fontId="9" fillId="0" borderId="1" applyAlignment="1" pivotButton="0" quotePrefix="0" xfId="0">
      <alignment indent="1"/>
    </xf>
    <xf numFmtId="0" fontId="9" fillId="0" borderId="1" applyAlignment="1" pivotButton="0" quotePrefix="0" xfId="0">
      <alignment horizontal="right" indent="1"/>
    </xf>
    <xf numFmtId="0" fontId="0" fillId="0" borderId="1" pivotButton="0" quotePrefix="0" xfId="0"/>
    <xf numFmtId="0" fontId="10" fillId="6" borderId="0" applyAlignment="1" pivotButton="0" quotePrefix="0" xfId="0">
      <alignment indent="1"/>
    </xf>
    <xf numFmtId="0" fontId="11" fillId="6" borderId="0" applyAlignment="1" pivotButton="0" quotePrefix="0" xfId="0">
      <alignment vertical="top" wrapText="1" indent="1"/>
    </xf>
    <xf numFmtId="0" fontId="1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50" customWidth="1" min="4" max="4"/>
  </cols>
  <sheetData>
    <row r="2">
      <c r="B2" s="1" t="inlineStr">
        <is>
          <t>FORFETTINO</t>
        </is>
      </c>
    </row>
    <row r="3">
      <c r="B3" s="2" t="inlineStr">
        <is>
          <t>Simulatore Saldi &amp; Acconti 2026</t>
        </is>
      </c>
    </row>
    <row r="4">
      <c r="B4" s="3" t="inlineStr">
        <is>
          <t>Quanto accantonare ogni mese e quanto versare a giugno e novembre</t>
        </is>
      </c>
    </row>
    <row r="6" ht="24" customHeight="1">
      <c r="B6" s="4" t="inlineStr">
        <is>
          <t>1.  I TUOI DATI  (modifica solo le celle arancioni)</t>
        </is>
      </c>
    </row>
    <row r="7">
      <c r="B7" s="5" t="inlineStr">
        <is>
          <t>Voce</t>
        </is>
      </c>
      <c r="C7" s="6" t="inlineStr">
        <is>
          <t>Valore</t>
        </is>
      </c>
      <c r="D7" s="5" t="inlineStr">
        <is>
          <t>Note</t>
        </is>
      </c>
    </row>
    <row r="8">
      <c r="B8" s="7" t="inlineStr">
        <is>
          <t>Fatturato annuo stimato (€)</t>
        </is>
      </c>
      <c r="C8" s="8" t="n">
        <v>40000</v>
      </c>
      <c r="D8" s="9" t="inlineStr">
        <is>
          <t>Totale che prevedi di incassare nel 2026</t>
        </is>
      </c>
    </row>
    <row r="9">
      <c r="B9" s="7" t="inlineStr">
        <is>
          <t>Coefficiente di redditività (%)</t>
        </is>
      </c>
      <c r="C9" s="10" t="n">
        <v>78</v>
      </c>
      <c r="D9" s="9" t="inlineStr">
        <is>
          <t>Dipende dal tuo codice ATECO (vedi tabella in fondo)</t>
        </is>
      </c>
    </row>
    <row r="10">
      <c r="B10" s="7" t="inlineStr">
        <is>
          <t>Aliquota imposta sostitutiva (%)</t>
        </is>
      </c>
      <c r="C10" s="10" t="n">
        <v>15</v>
      </c>
      <c r="D10" s="9" t="inlineStr">
        <is>
          <t>5% nei primi 5 anni di attività · 15% ordinaria</t>
        </is>
      </c>
    </row>
    <row r="11">
      <c r="B11" s="7" t="inlineStr">
        <is>
          <t>Aliquota INPS Gestione Separata (%)</t>
        </is>
      </c>
      <c r="C11" s="10" t="n">
        <v>26.07</v>
      </c>
      <c r="D11" s="9" t="inlineStr">
        <is>
          <t>26,07% nel 2026 senza altra copertura previdenziale</t>
        </is>
      </c>
    </row>
    <row r="13" ht="24" customHeight="1">
      <c r="B13" s="4" t="inlineStr">
        <is>
          <t>2.  CALCOLO ANNUO</t>
        </is>
      </c>
    </row>
    <row r="14">
      <c r="B14" s="5" t="inlineStr">
        <is>
          <t>Voce</t>
        </is>
      </c>
      <c r="C14" s="6" t="inlineStr">
        <is>
          <t>Importo annuo (€)</t>
        </is>
      </c>
      <c r="D14" s="5" t="inlineStr">
        <is>
          <t>Come si calcola</t>
        </is>
      </c>
    </row>
    <row r="15">
      <c r="B15" s="7" t="inlineStr">
        <is>
          <t>Reddito imponibile</t>
        </is>
      </c>
      <c r="C15" s="11">
        <f>C8*C9/100</f>
        <v/>
      </c>
      <c r="D15" s="9" t="inlineStr">
        <is>
          <t>Fatturato × coefficiente di redditività</t>
        </is>
      </c>
    </row>
    <row r="16">
      <c r="B16" s="7" t="inlineStr">
        <is>
          <t>Imposta sostitutiva</t>
        </is>
      </c>
      <c r="C16" s="11">
        <f>C15*C10/100</f>
        <v/>
      </c>
      <c r="D16" s="9" t="inlineStr">
        <is>
          <t>Reddito imponibile × aliquota imposta</t>
        </is>
      </c>
    </row>
    <row r="17">
      <c r="B17" s="7" t="inlineStr">
        <is>
          <t>Contributi INPS</t>
        </is>
      </c>
      <c r="C17" s="11">
        <f>C15*C11/100</f>
        <v/>
      </c>
      <c r="D17" s="9" t="inlineStr">
        <is>
          <t>Reddito imponibile × aliquota INPS</t>
        </is>
      </c>
    </row>
    <row r="18">
      <c r="B18" s="12" t="inlineStr">
        <is>
          <t>Totale da accantonare nell'anno</t>
        </is>
      </c>
      <c r="C18" s="13">
        <f>C16+C17</f>
        <v/>
      </c>
      <c r="D18" s="9" t="inlineStr">
        <is>
          <t>Imposta + contributi</t>
        </is>
      </c>
    </row>
    <row r="19">
      <c r="B19" s="7" t="inlineStr">
        <is>
          <t>➜ Accantona ogni mese su un conto separato</t>
        </is>
      </c>
      <c r="C19" s="14">
        <f>C18/12</f>
        <v/>
      </c>
      <c r="D19" s="9" t="inlineStr">
        <is>
          <t>Imposta un bonifico automatico: te ne dimentichi</t>
        </is>
      </c>
    </row>
    <row r="21" ht="24" customHeight="1">
      <c r="B21" s="4" t="inlineStr">
        <is>
          <t>3.  QUANDO VERSARE — SCADENZE 2026</t>
        </is>
      </c>
    </row>
    <row r="22">
      <c r="B22" s="5" t="inlineStr">
        <is>
          <t>Scadenza</t>
        </is>
      </c>
      <c r="C22" s="6" t="inlineStr">
        <is>
          <t>Importo stimato (€)</t>
        </is>
      </c>
      <c r="D22" s="5" t="inlineStr">
        <is>
          <t>Cosa comprende</t>
        </is>
      </c>
    </row>
    <row r="23">
      <c r="B23" s="7" t="inlineStr">
        <is>
          <t>1° acconto imposta — 30 giugno</t>
        </is>
      </c>
      <c r="C23" s="11">
        <f>ROUND(C16*0.4,0)</f>
        <v/>
      </c>
      <c r="D23" s="9" t="inlineStr">
        <is>
          <t>40% dell'imposta (metodo previsionale)</t>
        </is>
      </c>
    </row>
    <row r="24">
      <c r="B24" s="7" t="inlineStr">
        <is>
          <t>1° acconto INPS — 30 giugno</t>
        </is>
      </c>
      <c r="C24" s="11">
        <f>ROUND(C17*0.5,0)</f>
        <v/>
      </c>
      <c r="D24" s="9" t="inlineStr">
        <is>
          <t>50% dei contributi INPS</t>
        </is>
      </c>
    </row>
    <row r="25">
      <c r="B25" s="7" t="inlineStr">
        <is>
          <t>Totale entro il 30 giugno</t>
        </is>
      </c>
      <c r="C25" s="14">
        <f>C23+C24</f>
        <v/>
      </c>
      <c r="D25" s="9" t="inlineStr">
        <is>
          <t>Acconto imposta + acconto INPS</t>
        </is>
      </c>
    </row>
    <row r="26">
      <c r="B26" s="7" t="inlineStr">
        <is>
          <t>2° acconto imposta — 30 novembre</t>
        </is>
      </c>
      <c r="C26" s="11">
        <f>ROUND(C16*0.6,0)</f>
        <v/>
      </c>
      <c r="D26" s="9" t="inlineStr">
        <is>
          <t>60% dell'imposta (metodo previsionale)</t>
        </is>
      </c>
    </row>
    <row r="27">
      <c r="B27" s="7" t="inlineStr">
        <is>
          <t>2° acconto INPS — 30 novembre</t>
        </is>
      </c>
      <c r="C27" s="11">
        <f>ROUND(C17*0.5,0)</f>
        <v/>
      </c>
      <c r="D27" s="9" t="inlineStr">
        <is>
          <t>50% dei contributi INPS</t>
        </is>
      </c>
    </row>
    <row r="28">
      <c r="B28" s="7" t="inlineStr">
        <is>
          <t>Totale entro il 30 novembre</t>
        </is>
      </c>
      <c r="C28" s="14">
        <f>C26+C27</f>
        <v/>
      </c>
      <c r="D28" s="9" t="inlineStr">
        <is>
          <t>Acconto imposta + acconto INPS</t>
        </is>
      </c>
    </row>
    <row r="30" ht="24" customHeight="1">
      <c r="B30" s="4" t="inlineStr">
        <is>
          <t>COEFFICIENTI DI REDDITIVITÀ — i più comuni</t>
        </is>
      </c>
    </row>
    <row r="31">
      <c r="B31" s="15" t="inlineStr">
        <is>
          <t>Professionisti (consulenza, IT, design, formazione)</t>
        </is>
      </c>
      <c r="C31" s="16" t="inlineStr">
        <is>
          <t>78%</t>
        </is>
      </c>
      <c r="D31" s="17" t="n"/>
    </row>
    <row r="32">
      <c r="B32" s="15" t="inlineStr">
        <is>
          <t>Intermediari del commercio</t>
        </is>
      </c>
      <c r="C32" s="16" t="inlineStr">
        <is>
          <t>62%</t>
        </is>
      </c>
      <c r="D32" s="17" t="n"/>
    </row>
    <row r="33">
      <c r="B33" s="15" t="inlineStr">
        <is>
          <t>Commercio ingrosso e dettaglio</t>
        </is>
      </c>
      <c r="C33" s="16" t="inlineStr">
        <is>
          <t>40%</t>
        </is>
      </c>
      <c r="D33" s="17" t="n"/>
    </row>
    <row r="34">
      <c r="B34" s="15" t="inlineStr">
        <is>
          <t>Alimentari e bevande (somministrazione)</t>
        </is>
      </c>
      <c r="C34" s="16" t="inlineStr">
        <is>
          <t>40%</t>
        </is>
      </c>
      <c r="D34" s="17" t="n"/>
    </row>
    <row r="35">
      <c r="B35" s="15" t="inlineStr">
        <is>
          <t>Costruzioni e immobiliare</t>
        </is>
      </c>
      <c r="C35" s="16" t="inlineStr">
        <is>
          <t>86%</t>
        </is>
      </c>
      <c r="D35" s="17" t="n"/>
    </row>
    <row r="36">
      <c r="B36" s="15" t="inlineStr">
        <is>
          <t>Altre attività economiche</t>
        </is>
      </c>
      <c r="C36" s="16" t="inlineStr">
        <is>
          <t>67%</t>
        </is>
      </c>
      <c r="D36" s="17" t="n"/>
    </row>
    <row r="38">
      <c r="B38" s="18" t="inlineStr">
        <is>
          <t>NOTA IMPORTANTE</t>
        </is>
      </c>
    </row>
    <row r="39" ht="52" customHeight="1">
      <c r="B39" s="19" t="inlineStr">
        <is>
          <t>Stima orientativa col metodo previsionale. Nel PRIMO anno di attività non hai acconti versati l'anno prima: a giugno paghi anche il saldo dell'anno precedente, quindi l'uscita è più alta. Dal secondo anno gli acconti già versati compensano quasi tutto il saldo. Gli importi reali dipendono dal reddito effettivo: verifica sempre col tuo commercialista.</t>
        </is>
      </c>
    </row>
    <row r="40"/>
    <row r="41"/>
    <row r="42">
      <c r="B42" s="20" t="inlineStr">
        <is>
          <t>Vuoi questo calcolo aggiornato ogni giorno, in automatico, col tuo netto spendibile reale?  →  forfettino.it</t>
        </is>
      </c>
    </row>
    <row r="43">
      <c r="B43" s="21" t="inlineStr">
        <is>
          <t>Forfettino · Calcolatore netto spendibile, scadenze e accantonamento per il regime forfettario</t>
        </is>
      </c>
    </row>
  </sheetData>
  <mergeCells count="8">
    <mergeCell ref="B42:D42"/>
    <mergeCell ref="B39:D41"/>
    <mergeCell ref="B13:D13"/>
    <mergeCell ref="B21:D21"/>
    <mergeCell ref="B30:D30"/>
    <mergeCell ref="B43:D43"/>
    <mergeCell ref="B6:D6"/>
    <mergeCell ref="B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2026-06-12T18:49:07Z</dcterms:created>
  <dcterms:modified xmlns:dcterms="http://purl.org/dc/terms/" xmlns:xsi="http://www.w3.org/2001/XMLSchema-instance" xsi:type="dcterms:W3CDTF">2026-06-12T18:49:07Z</dcterms:modified>
</cp:coreProperties>
</file>